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_se4n\intel26\plc\"/>
    </mc:Choice>
  </mc:AlternateContent>
  <bookViews>
    <workbookView xWindow="0" yWindow="0" windowWidth="28800" windowHeight="12255"/>
  </bookViews>
  <sheets>
    <sheet name="Data Parameter" sheetId="1" r:id="rId1"/>
    <sheet name="Bit Calculator" sheetId="2" r:id="rId2"/>
    <sheet name="16 bi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0" i="3" l="1"/>
  <c r="V19" i="3"/>
  <c r="V18" i="3"/>
  <c r="V17" i="3"/>
  <c r="V16" i="3"/>
  <c r="V15" i="3"/>
  <c r="V14" i="3"/>
  <c r="Y13" i="3"/>
  <c r="Z13" i="3" s="1"/>
  <c r="X13" i="3"/>
  <c r="W13" i="3"/>
  <c r="V13" i="3"/>
  <c r="Y12" i="3"/>
  <c r="X12" i="3"/>
  <c r="W12" i="3"/>
  <c r="V12" i="3"/>
  <c r="V8" i="3"/>
  <c r="Z8" i="3" s="1"/>
  <c r="V9" i="3"/>
  <c r="Z9" i="3" s="1"/>
  <c r="Z12" i="3" l="1"/>
  <c r="Y9" i="3"/>
  <c r="X9" i="3"/>
  <c r="W9" i="3"/>
  <c r="Y8" i="3"/>
  <c r="X8" i="3"/>
  <c r="W8" i="3"/>
  <c r="T20" i="2" l="1"/>
  <c r="S20" i="2"/>
  <c r="R20" i="2"/>
  <c r="U8" i="2"/>
  <c r="U9" i="2"/>
  <c r="T19" i="2"/>
  <c r="S19" i="2"/>
  <c r="R19" i="2"/>
  <c r="T18" i="2"/>
  <c r="S18" i="2"/>
  <c r="R18" i="2"/>
  <c r="T17" i="2"/>
  <c r="S17" i="2"/>
  <c r="R17" i="2"/>
  <c r="T16" i="2"/>
  <c r="S16" i="2"/>
  <c r="R16" i="2"/>
  <c r="T15" i="2"/>
  <c r="S15" i="2"/>
  <c r="R15" i="2"/>
  <c r="T14" i="2"/>
  <c r="S14" i="2"/>
  <c r="R14" i="2"/>
  <c r="T13" i="2"/>
  <c r="S13" i="2"/>
  <c r="R13" i="2"/>
  <c r="T12" i="2"/>
  <c r="S12" i="2"/>
  <c r="R12" i="2"/>
  <c r="T9" i="2"/>
  <c r="S9" i="2"/>
  <c r="R9" i="2"/>
  <c r="T8" i="2"/>
  <c r="S8" i="2"/>
  <c r="R8" i="2"/>
  <c r="U14" i="2" l="1"/>
  <c r="Z14" i="2" s="1"/>
  <c r="U19" i="2"/>
  <c r="Z19" i="2" s="1"/>
  <c r="U16" i="2"/>
  <c r="Z16" i="2" s="1"/>
  <c r="U17" i="2"/>
  <c r="Z17" i="2" s="1"/>
  <c r="U15" i="2"/>
  <c r="Z15" i="2" s="1"/>
  <c r="U13" i="2"/>
  <c r="Z13" i="2" s="1"/>
  <c r="U12" i="2"/>
  <c r="Z12" i="2" s="1"/>
  <c r="U18" i="2"/>
  <c r="Z18" i="2" s="1"/>
  <c r="U20" i="2"/>
  <c r="Z20" i="2" s="1"/>
</calcChain>
</file>

<file path=xl/sharedStrings.xml><?xml version="1.0" encoding="utf-8"?>
<sst xmlns="http://schemas.openxmlformats.org/spreadsheetml/2006/main" count="157" uniqueCount="111">
  <si>
    <t>X0</t>
    <phoneticPr fontId="1" type="noConversion"/>
  </si>
  <si>
    <t>X1</t>
    <phoneticPr fontId="1" type="noConversion"/>
  </si>
  <si>
    <t>X2</t>
  </si>
  <si>
    <t>X3</t>
  </si>
  <si>
    <t>X4</t>
  </si>
  <si>
    <t>X5</t>
  </si>
  <si>
    <t>X6</t>
  </si>
  <si>
    <t>X7</t>
  </si>
  <si>
    <t>X8</t>
  </si>
  <si>
    <t>X9</t>
  </si>
  <si>
    <t>센서</t>
    <phoneticPr fontId="1" type="noConversion"/>
  </si>
  <si>
    <t>스위치</t>
    <phoneticPr fontId="1" type="noConversion"/>
  </si>
  <si>
    <t>X10</t>
    <phoneticPr fontId="1" type="noConversion"/>
  </si>
  <si>
    <t>X11</t>
    <phoneticPr fontId="1" type="noConversion"/>
  </si>
  <si>
    <t>솔레노이드 출력</t>
    <phoneticPr fontId="1" type="noConversion"/>
  </si>
  <si>
    <t>Y20</t>
    <phoneticPr fontId="1" type="noConversion"/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</si>
  <si>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</si>
  <si>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</si>
  <si>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</si>
  <si>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</si>
  <si>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</si>
  <si>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</si>
  <si>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</si>
  <si>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</si>
  <si>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</si>
  <si>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입력</t>
    <phoneticPr fontId="1" type="noConversion"/>
  </si>
  <si>
    <t>출력</t>
    <phoneticPr fontId="1" type="noConversion"/>
  </si>
  <si>
    <t>공급_후</t>
    <phoneticPr fontId="1" type="noConversion"/>
  </si>
  <si>
    <t>공급_전</t>
    <phoneticPr fontId="1" type="noConversion"/>
  </si>
  <si>
    <t>송출_후</t>
    <phoneticPr fontId="1" type="noConversion"/>
  </si>
  <si>
    <t>송출_전</t>
    <phoneticPr fontId="1" type="noConversion"/>
  </si>
  <si>
    <t>배출_후</t>
    <phoneticPr fontId="1" type="noConversion"/>
  </si>
  <si>
    <t>배출_전</t>
    <phoneticPr fontId="1" type="noConversion"/>
  </si>
  <si>
    <t>드릴_전</t>
    <phoneticPr fontId="1" type="noConversion"/>
  </si>
  <si>
    <t>COMMENT</t>
    <phoneticPr fontId="1" type="noConversion"/>
  </si>
  <si>
    <t>SOL2</t>
  </si>
  <si>
    <t>SOL6</t>
  </si>
  <si>
    <t>SOL7</t>
  </si>
  <si>
    <t>Y2A</t>
    <phoneticPr fontId="1" type="noConversion"/>
  </si>
  <si>
    <t>Y2B</t>
    <phoneticPr fontId="1" type="noConversion"/>
  </si>
  <si>
    <t>SOL1</t>
    <phoneticPr fontId="1" type="noConversion"/>
  </si>
  <si>
    <t>X12</t>
    <phoneticPr fontId="1" type="noConversion"/>
  </si>
  <si>
    <t>매거진</t>
    <phoneticPr fontId="1" type="noConversion"/>
  </si>
  <si>
    <t>비금속</t>
    <phoneticPr fontId="1" type="noConversion"/>
  </si>
  <si>
    <t>금속</t>
    <phoneticPr fontId="1" type="noConversion"/>
  </si>
  <si>
    <t>X0A</t>
    <phoneticPr fontId="1" type="noConversion"/>
  </si>
  <si>
    <t>적색</t>
    <phoneticPr fontId="1" type="noConversion"/>
  </si>
  <si>
    <t>황색</t>
    <phoneticPr fontId="1" type="noConversion"/>
  </si>
  <si>
    <t>녹색</t>
    <phoneticPr fontId="1" type="noConversion"/>
  </si>
  <si>
    <t>컨베이어</t>
    <phoneticPr fontId="1" type="noConversion"/>
  </si>
  <si>
    <t>가공도</t>
    <phoneticPr fontId="1" type="noConversion"/>
  </si>
  <si>
    <t>PB1</t>
    <phoneticPr fontId="1" type="noConversion"/>
  </si>
  <si>
    <t>PB2</t>
  </si>
  <si>
    <t>PB3</t>
  </si>
  <si>
    <t>X13</t>
  </si>
  <si>
    <t>X14</t>
  </si>
  <si>
    <t>X15</t>
  </si>
  <si>
    <t>X16</t>
  </si>
  <si>
    <t>X17</t>
  </si>
  <si>
    <t>X18</t>
  </si>
  <si>
    <t>정지</t>
    <phoneticPr fontId="1" type="noConversion"/>
  </si>
  <si>
    <t>Y21</t>
    <phoneticPr fontId="1" type="noConversion"/>
  </si>
  <si>
    <t>가공모터</t>
    <phoneticPr fontId="1" type="noConversion"/>
  </si>
  <si>
    <t>x10</t>
    <phoneticPr fontId="1" type="noConversion"/>
  </si>
  <si>
    <t>x11</t>
    <phoneticPr fontId="1" type="noConversion"/>
  </si>
  <si>
    <t>ALL_OFF</t>
    <phoneticPr fontId="1" type="noConversion"/>
  </si>
  <si>
    <t>ALL_ON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</si>
  <si>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</si>
  <si>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</si>
  <si>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</si>
  <si>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</si>
  <si>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</si>
  <si>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</si>
  <si>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1</t>
    <phoneticPr fontId="1" type="noConversion"/>
  </si>
  <si>
    <t>2</t>
  </si>
  <si>
    <t>3</t>
  </si>
  <si>
    <t>4</t>
  </si>
  <si>
    <t>5</t>
  </si>
  <si>
    <t>6</t>
  </si>
  <si>
    <t>7</t>
  </si>
  <si>
    <t>8</t>
  </si>
  <si>
    <t>9</t>
  </si>
  <si>
    <t>M1</t>
    <phoneticPr fontId="1" type="noConversion"/>
  </si>
  <si>
    <t>M2</t>
  </si>
  <si>
    <t>M3</t>
  </si>
  <si>
    <t>M4</t>
  </si>
  <si>
    <t>M5</t>
  </si>
  <si>
    <t>M6</t>
  </si>
  <si>
    <t>M7</t>
  </si>
  <si>
    <t>M8</t>
  </si>
  <si>
    <t>M9</t>
  </si>
  <si>
    <t>K3 Y20</t>
    <phoneticPr fontId="1" type="noConversion"/>
  </si>
  <si>
    <t>3 NIBBLES from Y20</t>
    <phoneticPr fontId="1" type="noConversion"/>
  </si>
  <si>
    <t>WORD Control</t>
    <phoneticPr fontId="1" type="noConversion"/>
  </si>
  <si>
    <t>Memory IO</t>
    <phoneticPr fontId="1" type="noConversion"/>
  </si>
  <si>
    <t>X70</t>
    <phoneticPr fontId="1" type="noConversion"/>
  </si>
  <si>
    <t>D/A -&gt; CPU
READY</t>
    <phoneticPr fontId="1" type="noConversion"/>
  </si>
  <si>
    <t>Y71</t>
    <phoneticPr fontId="1" type="noConversion"/>
  </si>
  <si>
    <t>CPU -&gt; D/A
CH1 allow/deny (1 / 0)</t>
    <phoneticPr fontId="1" type="noConversion"/>
  </si>
  <si>
    <t>공급_후_완</t>
    <phoneticPr fontId="1" type="noConversion"/>
  </si>
  <si>
    <t>공급_전_완</t>
    <phoneticPr fontId="1" type="noConversion"/>
  </si>
  <si>
    <t>드릴_상_완</t>
    <phoneticPr fontId="1" type="noConversion"/>
  </si>
  <si>
    <t>드릴_하_완</t>
    <phoneticPr fontId="1" type="noConversion"/>
  </si>
  <si>
    <t>송출_후_완</t>
    <phoneticPr fontId="1" type="noConversion"/>
  </si>
  <si>
    <t>송출_전_완</t>
    <phoneticPr fontId="1" type="noConversion"/>
  </si>
  <si>
    <t>배출_후_완</t>
    <phoneticPr fontId="1" type="noConversion"/>
  </si>
  <si>
    <t>배출_전_완</t>
    <phoneticPr fontId="1" type="noConversion"/>
  </si>
  <si>
    <t>가공</t>
    <phoneticPr fontId="1" type="noConversion"/>
  </si>
  <si>
    <t>SOL5</t>
    <phoneticPr fontId="1" type="noConversion"/>
  </si>
  <si>
    <t>SOL3</t>
    <phoneticPr fontId="1" type="noConversion"/>
  </si>
  <si>
    <t>SOL4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</si>
</sst>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6" borderId="0" xfId="0" applyFill="1">
      <alignment vertical="center"/>
    </xf>
    <xf numFmtId="0" fontId="0" fillId="0" borderId="0" xfId="0" applyBorder="1">
      <alignment vertical="center"/>
    </xf>
    <xf numFmtId="0" fontId="0" fillId="0" borderId="7" xfId="0" applyFill="1" applyBorder="1">
      <alignment vertical="center"/>
    </xf>
    <xf numFmtId="0" fontId="0" fillId="0" borderId="8" xfId="0" applyFill="1" applyBorder="1">
      <alignment vertical="center"/>
    </xf>
    <xf numFmtId="0" fontId="0" fillId="0" borderId="9" xfId="0" applyFill="1" applyBorder="1">
      <alignment vertical="center"/>
    </xf>
    <xf numFmtId="0" fontId="0" fillId="0" borderId="10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11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3" fillId="8" borderId="0" xfId="0" applyFont="1" applyFill="1">
      <alignment vertical="center"/>
    </xf>
    <xf numFmtId="0" fontId="0" fillId="7" borderId="10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6" borderId="0" xfId="0" quotePrefix="1" applyFill="1">
      <alignment vertical="center"/>
    </xf>
    <xf numFmtId="0" fontId="4" fillId="0" borderId="0" xfId="0" applyFont="1">
      <alignment vertical="center"/>
    </xf>
    <xf numFmtId="0" fontId="0" fillId="0" borderId="1" xfId="0" applyBorder="1" applyAlignment="1">
      <alignment vertical="center" wrapText="1"/>
    </xf>
    <xf numFmtId="0" fontId="0" fillId="9" borderId="0" xfId="0" applyFill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K23"/>
  <sheetViews>
    <sheetView tabSelected="1" topLeftCell="D1" zoomScale="130" zoomScaleNormal="130" workbookViewId="0">
      <selection activeCell="O4" sqref="O4"/>
    </sheetView>
  </sheetViews>
  <sheetFormatPr defaultRowHeight="16.5"/>
  <cols>
    <col min="5" max="5" width="12.125" customWidth="1"/>
    <col min="6" max="6" width="15.125" customWidth="1"/>
    <col min="8" max="8" width="15.5" customWidth="1"/>
    <col min="9" max="9" width="20.625" customWidth="1"/>
    <col min="10" max="10" width="22.375" customWidth="1"/>
    <col min="11" max="11" width="14.625" bestFit="1" customWidth="1"/>
  </cols>
  <sheetData>
    <row r="2" spans="5:11" s="4" customFormat="1" ht="21" customHeight="1">
      <c r="E2" s="34" t="s">
        <v>25</v>
      </c>
      <c r="F2" s="35"/>
      <c r="G2" s="35"/>
      <c r="H2" s="36"/>
      <c r="I2" s="37" t="s">
        <v>26</v>
      </c>
      <c r="J2" s="38"/>
      <c r="K2" s="38"/>
    </row>
    <row r="3" spans="5:11" s="4" customFormat="1" ht="21" customHeight="1">
      <c r="E3" s="2" t="s">
        <v>10</v>
      </c>
      <c r="F3" s="2" t="s">
        <v>34</v>
      </c>
      <c r="G3" s="2" t="s">
        <v>11</v>
      </c>
      <c r="H3" s="2" t="s">
        <v>34</v>
      </c>
      <c r="I3" s="3" t="s">
        <v>14</v>
      </c>
      <c r="J3" s="39" t="s">
        <v>34</v>
      </c>
      <c r="K3" s="40"/>
    </row>
    <row r="4" spans="5:11" s="4" customFormat="1" ht="21" customHeight="1">
      <c r="E4" s="1" t="s">
        <v>0</v>
      </c>
      <c r="F4" s="5" t="s">
        <v>99</v>
      </c>
      <c r="G4" s="1" t="s">
        <v>12</v>
      </c>
      <c r="H4" s="5" t="s">
        <v>51</v>
      </c>
      <c r="I4" s="1" t="s">
        <v>15</v>
      </c>
      <c r="J4" s="5" t="s">
        <v>28</v>
      </c>
      <c r="K4" s="5" t="s">
        <v>40</v>
      </c>
    </row>
    <row r="5" spans="5:11" s="4" customFormat="1" ht="21" customHeight="1">
      <c r="E5" s="1" t="s">
        <v>1</v>
      </c>
      <c r="F5" s="5" t="s">
        <v>100</v>
      </c>
      <c r="G5" s="1" t="s">
        <v>13</v>
      </c>
      <c r="H5" s="5" t="s">
        <v>52</v>
      </c>
      <c r="I5" s="1" t="s">
        <v>16</v>
      </c>
      <c r="J5" s="5" t="s">
        <v>27</v>
      </c>
      <c r="K5" s="5" t="s">
        <v>35</v>
      </c>
    </row>
    <row r="6" spans="5:11" s="4" customFormat="1" ht="21" customHeight="1">
      <c r="E6" s="1" t="s">
        <v>2</v>
      </c>
      <c r="F6" s="5" t="s">
        <v>101</v>
      </c>
      <c r="G6" s="1" t="s">
        <v>41</v>
      </c>
      <c r="H6" s="5" t="s">
        <v>53</v>
      </c>
      <c r="I6" s="1" t="s">
        <v>17</v>
      </c>
      <c r="J6" s="5" t="s">
        <v>33</v>
      </c>
      <c r="K6" s="5" t="s">
        <v>108</v>
      </c>
    </row>
    <row r="7" spans="5:11" s="4" customFormat="1" ht="21" customHeight="1">
      <c r="E7" s="1" t="s">
        <v>3</v>
      </c>
      <c r="F7" s="5" t="s">
        <v>102</v>
      </c>
      <c r="G7" s="1" t="s">
        <v>54</v>
      </c>
      <c r="H7" s="5"/>
      <c r="I7" s="1" t="s">
        <v>18</v>
      </c>
      <c r="J7" s="5" t="s">
        <v>30</v>
      </c>
      <c r="K7" s="5" t="s">
        <v>109</v>
      </c>
    </row>
    <row r="8" spans="5:11" s="4" customFormat="1" ht="21" customHeight="1">
      <c r="E8" s="1" t="s">
        <v>4</v>
      </c>
      <c r="F8" s="5" t="s">
        <v>103</v>
      </c>
      <c r="G8" s="1" t="s">
        <v>55</v>
      </c>
      <c r="H8" s="5"/>
      <c r="I8" s="1" t="s">
        <v>19</v>
      </c>
      <c r="J8" s="5" t="s">
        <v>29</v>
      </c>
      <c r="K8" s="5" t="s">
        <v>110</v>
      </c>
    </row>
    <row r="9" spans="5:11" s="4" customFormat="1" ht="21" customHeight="1">
      <c r="E9" s="1" t="s">
        <v>5</v>
      </c>
      <c r="F9" s="5" t="s">
        <v>104</v>
      </c>
      <c r="G9" s="1" t="s">
        <v>56</v>
      </c>
      <c r="H9" s="5"/>
      <c r="I9" s="1" t="s">
        <v>20</v>
      </c>
      <c r="J9" s="5" t="s">
        <v>32</v>
      </c>
      <c r="K9" s="5" t="s">
        <v>36</v>
      </c>
    </row>
    <row r="10" spans="5:11" s="4" customFormat="1" ht="21" customHeight="1">
      <c r="E10" s="1" t="s">
        <v>6</v>
      </c>
      <c r="F10" s="5" t="s">
        <v>105</v>
      </c>
      <c r="G10" s="1" t="s">
        <v>57</v>
      </c>
      <c r="H10" s="5"/>
      <c r="I10" s="1" t="s">
        <v>21</v>
      </c>
      <c r="J10" s="5" t="s">
        <v>31</v>
      </c>
      <c r="K10" s="5" t="s">
        <v>37</v>
      </c>
    </row>
    <row r="11" spans="5:11" s="4" customFormat="1" ht="21" customHeight="1">
      <c r="E11" s="1" t="s">
        <v>7</v>
      </c>
      <c r="F11" s="5" t="s">
        <v>106</v>
      </c>
      <c r="G11" s="1" t="s">
        <v>58</v>
      </c>
      <c r="H11" s="5"/>
      <c r="I11" s="1" t="s">
        <v>22</v>
      </c>
      <c r="J11" s="5" t="s">
        <v>49</v>
      </c>
      <c r="K11" s="5"/>
    </row>
    <row r="12" spans="5:11" s="4" customFormat="1" ht="21" customHeight="1">
      <c r="E12" s="1" t="s">
        <v>8</v>
      </c>
      <c r="F12" s="5" t="s">
        <v>42</v>
      </c>
      <c r="G12" s="1" t="s">
        <v>59</v>
      </c>
      <c r="H12" s="5" t="s">
        <v>60</v>
      </c>
      <c r="I12" s="1" t="s">
        <v>23</v>
      </c>
      <c r="J12" s="5" t="s">
        <v>50</v>
      </c>
      <c r="K12" s="5"/>
    </row>
    <row r="13" spans="5:11" s="4" customFormat="1" ht="21" customHeight="1">
      <c r="E13" s="1" t="s">
        <v>9</v>
      </c>
      <c r="F13" s="5" t="s">
        <v>43</v>
      </c>
      <c r="G13" s="1"/>
      <c r="H13" s="5"/>
      <c r="I13" s="1" t="s">
        <v>24</v>
      </c>
      <c r="J13" s="6" t="s">
        <v>46</v>
      </c>
      <c r="K13" s="6"/>
    </row>
    <row r="14" spans="5:11" ht="18.75" customHeight="1">
      <c r="E14" s="1" t="s">
        <v>45</v>
      </c>
      <c r="F14" s="5" t="s">
        <v>44</v>
      </c>
      <c r="G14" s="5"/>
      <c r="H14" s="1"/>
      <c r="I14" s="1" t="s">
        <v>38</v>
      </c>
      <c r="J14" s="6" t="s">
        <v>47</v>
      </c>
      <c r="K14" s="6"/>
    </row>
    <row r="15" spans="5:11" ht="18.75" customHeight="1">
      <c r="E15" s="1"/>
      <c r="F15" s="5"/>
      <c r="G15" s="5"/>
      <c r="H15" s="1"/>
      <c r="I15" s="1" t="s">
        <v>39</v>
      </c>
      <c r="J15" s="6" t="s">
        <v>48</v>
      </c>
      <c r="K15" s="6"/>
    </row>
    <row r="16" spans="5:11" ht="18.75" customHeight="1">
      <c r="E16" s="1"/>
      <c r="F16" s="5"/>
      <c r="G16" s="5"/>
      <c r="H16" s="1"/>
      <c r="I16" s="1"/>
      <c r="J16" s="5"/>
      <c r="K16" s="6"/>
    </row>
    <row r="17" spans="5:11" ht="33">
      <c r="E17" s="1" t="s">
        <v>95</v>
      </c>
      <c r="F17" s="32" t="s">
        <v>96</v>
      </c>
      <c r="G17" s="5"/>
      <c r="H17" s="1"/>
      <c r="I17" s="1" t="s">
        <v>97</v>
      </c>
      <c r="J17" s="32" t="s">
        <v>98</v>
      </c>
      <c r="K17" s="6"/>
    </row>
    <row r="18" spans="5:11">
      <c r="E18" s="1"/>
      <c r="F18" s="32"/>
      <c r="G18" s="5"/>
      <c r="H18" s="1"/>
      <c r="I18" s="1"/>
      <c r="J18" s="5"/>
      <c r="K18" s="6"/>
    </row>
    <row r="19" spans="5:11">
      <c r="E19" s="1"/>
      <c r="F19" s="32"/>
      <c r="G19" s="5"/>
      <c r="H19" s="1"/>
      <c r="I19" s="1"/>
      <c r="J19" s="5"/>
      <c r="K19" s="6"/>
    </row>
    <row r="20" spans="5:11">
      <c r="E20" s="1"/>
      <c r="F20" s="32"/>
      <c r="G20" s="5"/>
      <c r="H20" s="1"/>
      <c r="I20" s="1"/>
      <c r="J20" s="5"/>
      <c r="K20" s="6"/>
    </row>
    <row r="21" spans="5:11">
      <c r="E21" s="1"/>
      <c r="F21" s="32"/>
      <c r="G21" s="5"/>
      <c r="H21" s="1"/>
      <c r="I21" s="1"/>
      <c r="J21" s="5"/>
      <c r="K21" s="6"/>
    </row>
    <row r="22" spans="5:11">
      <c r="E22" s="1"/>
      <c r="F22" s="32"/>
      <c r="G22" s="5"/>
      <c r="H22" s="1"/>
      <c r="I22" s="1"/>
      <c r="J22" s="5"/>
      <c r="K22" s="6"/>
    </row>
    <row r="23" spans="5:11">
      <c r="E23" s="1"/>
      <c r="F23" s="32"/>
      <c r="G23" s="5"/>
      <c r="H23" s="1"/>
      <c r="I23" s="1"/>
      <c r="J23" s="5"/>
      <c r="K23" s="6"/>
    </row>
  </sheetData>
  <mergeCells count="3">
    <mergeCell ref="E2:H2"/>
    <mergeCell ref="I2:K2"/>
    <mergeCell ref="J3:K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20"/>
  <sheetViews>
    <sheetView topLeftCell="A4" zoomScale="85" zoomScaleNormal="85" workbookViewId="0">
      <selection activeCell="L20" sqref="L20"/>
    </sheetView>
  </sheetViews>
  <sheetFormatPr defaultRowHeight="16.5"/>
  <sheetData>
    <row r="1" spans="2:26">
      <c r="M1" t="s">
        <v>92</v>
      </c>
    </row>
    <row r="2" spans="2:26">
      <c r="C2" s="31" t="s">
        <v>93</v>
      </c>
      <c r="M2" t="s">
        <v>91</v>
      </c>
    </row>
    <row r="3" spans="2:26">
      <c r="C3" s="31" t="s">
        <v>94</v>
      </c>
    </row>
    <row r="4" spans="2:26" ht="17.25" thickBot="1"/>
    <row r="5" spans="2:26">
      <c r="E5" s="9">
        <v>8</v>
      </c>
      <c r="F5" s="10">
        <v>4</v>
      </c>
      <c r="G5" s="10">
        <v>2</v>
      </c>
      <c r="H5" s="11">
        <v>1</v>
      </c>
      <c r="I5" s="9">
        <v>8</v>
      </c>
      <c r="J5" s="10">
        <v>4</v>
      </c>
      <c r="K5" s="10">
        <v>2</v>
      </c>
      <c r="L5" s="11">
        <v>1</v>
      </c>
      <c r="M5" s="18">
        <v>8</v>
      </c>
      <c r="N5" s="19">
        <v>4</v>
      </c>
      <c r="O5" s="19">
        <v>2</v>
      </c>
      <c r="P5" s="20">
        <v>1</v>
      </c>
      <c r="W5" s="7">
        <v>1</v>
      </c>
      <c r="X5" s="30" t="s">
        <v>73</v>
      </c>
    </row>
    <row r="6" spans="2:26">
      <c r="E6" s="27" t="s">
        <v>48</v>
      </c>
      <c r="F6" s="28" t="s">
        <v>47</v>
      </c>
      <c r="G6" s="28" t="s">
        <v>46</v>
      </c>
      <c r="H6" s="29" t="s">
        <v>62</v>
      </c>
      <c r="I6" s="27" t="s">
        <v>49</v>
      </c>
      <c r="J6" s="28" t="s">
        <v>31</v>
      </c>
      <c r="K6" s="28" t="s">
        <v>32</v>
      </c>
      <c r="L6" s="29" t="s">
        <v>29</v>
      </c>
      <c r="M6" s="27" t="s">
        <v>30</v>
      </c>
      <c r="N6" s="28" t="s">
        <v>107</v>
      </c>
      <c r="O6" s="28" t="s">
        <v>27</v>
      </c>
      <c r="P6" s="29" t="s">
        <v>28</v>
      </c>
      <c r="W6" s="7">
        <v>2</v>
      </c>
      <c r="X6" s="30" t="s">
        <v>74</v>
      </c>
    </row>
    <row r="7" spans="2:26">
      <c r="E7" s="27" t="s">
        <v>39</v>
      </c>
      <c r="F7" s="28" t="s">
        <v>38</v>
      </c>
      <c r="G7" s="28" t="s">
        <v>24</v>
      </c>
      <c r="H7" s="29" t="s">
        <v>23</v>
      </c>
      <c r="I7" s="27" t="s">
        <v>22</v>
      </c>
      <c r="J7" s="28" t="s">
        <v>21</v>
      </c>
      <c r="K7" s="28" t="s">
        <v>20</v>
      </c>
      <c r="L7" s="29" t="s">
        <v>19</v>
      </c>
      <c r="M7" s="27" t="s">
        <v>18</v>
      </c>
      <c r="N7" s="28" t="s">
        <v>17</v>
      </c>
      <c r="O7" s="28" t="s">
        <v>61</v>
      </c>
      <c r="P7" s="29" t="s">
        <v>15</v>
      </c>
      <c r="W7" s="7">
        <v>3</v>
      </c>
      <c r="X7" s="30" t="s">
        <v>75</v>
      </c>
    </row>
    <row r="8" spans="2:26">
      <c r="B8" t="s">
        <v>66</v>
      </c>
      <c r="C8" t="s">
        <v>63</v>
      </c>
      <c r="E8" s="12">
        <v>1</v>
      </c>
      <c r="F8" s="13">
        <v>1</v>
      </c>
      <c r="G8" s="13">
        <v>1</v>
      </c>
      <c r="H8" s="14">
        <v>1</v>
      </c>
      <c r="I8" s="12">
        <v>1</v>
      </c>
      <c r="J8" s="13">
        <v>0</v>
      </c>
      <c r="K8" s="13">
        <v>1</v>
      </c>
      <c r="L8" s="14">
        <v>0</v>
      </c>
      <c r="M8" s="21">
        <v>1</v>
      </c>
      <c r="N8" s="8">
        <v>1</v>
      </c>
      <c r="O8" s="8">
        <v>0</v>
      </c>
      <c r="P8" s="22">
        <v>1</v>
      </c>
      <c r="R8" s="26" t="str">
        <f>IFERROR(VLOOKUP(E8*E$5+F8*F$5+G8*G$5+H8*H$5,$W$5:$X$19,2),"0")</f>
        <v>F</v>
      </c>
      <c r="S8" s="26" t="str">
        <f>IFERROR(VLOOKUP(I8*I$5+J8*J$5+K8*K$5+L8*L$5,$W$5:$X$19,2),"0")</f>
        <v>A</v>
      </c>
      <c r="T8" s="26" t="str">
        <f>IFERROR(VLOOKUP(M8*M$5+N8*N$5+O8*O$5+P8*P$5,$W$5:$X$19,2),"0")</f>
        <v>D</v>
      </c>
      <c r="U8" t="str">
        <f>CONCATENATE(R8,S8,T8)</f>
        <v>FAD</v>
      </c>
      <c r="W8" s="7">
        <v>4</v>
      </c>
      <c r="X8" s="30" t="s">
        <v>76</v>
      </c>
    </row>
    <row r="9" spans="2:26" ht="17.25" thickBot="1">
      <c r="B9" t="s">
        <v>65</v>
      </c>
      <c r="C9" t="s">
        <v>64</v>
      </c>
      <c r="E9" s="15">
        <v>0</v>
      </c>
      <c r="F9" s="16">
        <v>0</v>
      </c>
      <c r="G9" s="16">
        <v>0</v>
      </c>
      <c r="H9" s="17">
        <v>0</v>
      </c>
      <c r="I9" s="15">
        <v>0</v>
      </c>
      <c r="J9" s="16">
        <v>1</v>
      </c>
      <c r="K9" s="16">
        <v>0</v>
      </c>
      <c r="L9" s="17">
        <v>1</v>
      </c>
      <c r="M9" s="23">
        <v>0</v>
      </c>
      <c r="N9" s="24">
        <v>0</v>
      </c>
      <c r="O9" s="24">
        <v>1</v>
      </c>
      <c r="P9" s="25">
        <v>0</v>
      </c>
      <c r="R9" s="26" t="str">
        <f>IFERROR(VLOOKUP(E9*E$5+F9*F$5+G9*G$5+H9*H$5,$W$5:$X$19,2),"0")</f>
        <v>0</v>
      </c>
      <c r="S9" s="26" t="str">
        <f>IFERROR(VLOOKUP(I9*I$5+J9*J$5+K9*K$5+L9*L$5,$W$5:$X$19,2),"0")</f>
        <v>5</v>
      </c>
      <c r="T9" s="26" t="str">
        <f>IFERROR(VLOOKUP(M9*M$5+N9*N$5+O9*O$5+P9*P$5,$W$5:$X$19,2),"0")</f>
        <v>2</v>
      </c>
      <c r="U9" t="str">
        <f>CONCATENATE(R9,S9,T9)</f>
        <v>052</v>
      </c>
      <c r="W9" s="7">
        <v>5</v>
      </c>
      <c r="X9" s="30" t="s">
        <v>77</v>
      </c>
    </row>
    <row r="10" spans="2:26">
      <c r="W10" s="7">
        <v>6</v>
      </c>
      <c r="X10" s="30" t="s">
        <v>78</v>
      </c>
    </row>
    <row r="11" spans="2:26">
      <c r="W11" s="7">
        <v>7</v>
      </c>
      <c r="X11" s="30" t="s">
        <v>79</v>
      </c>
    </row>
    <row r="12" spans="2:26">
      <c r="D12" s="33" t="s">
        <v>82</v>
      </c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>
        <v>1</v>
      </c>
      <c r="R12" s="26" t="str">
        <f t="shared" ref="R12:R19" si="0">IFERROR(VLOOKUP(E12*E$5+F12*F$5+G12*G$5+H12*H$5,$W$5:$X$19,2),"0")</f>
        <v>0</v>
      </c>
      <c r="S12" s="26" t="str">
        <f t="shared" ref="S12:S19" si="1">IFERROR(VLOOKUP(I12*I$5+J12*J$5+K12*K$5+L12*L$5,$W$5:$X$19,2),"0")</f>
        <v>0</v>
      </c>
      <c r="T12" s="26" t="str">
        <f t="shared" ref="T12:T19" si="2">IFERROR(VLOOKUP(M12*M$5+N12*N$5+O12*O$5+P12*P$5,$W$5:$X$19,2),"0")</f>
        <v>1</v>
      </c>
      <c r="U12" t="str">
        <f t="shared" ref="U12:U19" si="3">CONCATENATE(R12,S12,T12)</f>
        <v>001</v>
      </c>
      <c r="W12" s="7">
        <v>8</v>
      </c>
      <c r="X12" s="30" t="s">
        <v>80</v>
      </c>
      <c r="Z12" t="str">
        <f>CONCATENATE("MOV H",U12," K3Y20")</f>
        <v>MOV H001 K3Y20</v>
      </c>
    </row>
    <row r="13" spans="2:26">
      <c r="D13" t="s">
        <v>83</v>
      </c>
      <c r="M13">
        <v>1</v>
      </c>
      <c r="P13">
        <v>0</v>
      </c>
      <c r="R13" s="26" t="str">
        <f t="shared" si="0"/>
        <v>0</v>
      </c>
      <c r="S13" s="26" t="str">
        <f t="shared" si="1"/>
        <v>0</v>
      </c>
      <c r="T13" s="26" t="str">
        <f t="shared" si="2"/>
        <v>8</v>
      </c>
      <c r="U13" t="str">
        <f t="shared" si="3"/>
        <v>008</v>
      </c>
      <c r="W13" s="7">
        <v>9</v>
      </c>
      <c r="X13" s="30" t="s">
        <v>81</v>
      </c>
      <c r="Z13" t="str">
        <f t="shared" ref="Z13:Z20" si="4">CONCATENATE("MOV H",U13," K3Y20")</f>
        <v>MOV H008 K3Y20</v>
      </c>
    </row>
    <row r="14" spans="2:26">
      <c r="D14" s="33" t="s">
        <v>84</v>
      </c>
      <c r="E14" s="33"/>
      <c r="F14" s="33">
        <v>1</v>
      </c>
      <c r="G14" s="33"/>
      <c r="H14" s="33"/>
      <c r="I14" s="33"/>
      <c r="J14" s="33"/>
      <c r="K14" s="33"/>
      <c r="L14" s="33"/>
      <c r="M14" s="33"/>
      <c r="N14" s="33">
        <v>1</v>
      </c>
      <c r="O14" s="33"/>
      <c r="P14" s="33">
        <v>0</v>
      </c>
      <c r="R14" s="26" t="str">
        <f t="shared" si="0"/>
        <v>4</v>
      </c>
      <c r="S14" s="26" t="str">
        <f t="shared" si="1"/>
        <v>0</v>
      </c>
      <c r="T14" s="26" t="str">
        <f t="shared" si="2"/>
        <v>4</v>
      </c>
      <c r="U14" t="str">
        <f t="shared" si="3"/>
        <v>404</v>
      </c>
      <c r="W14" s="7">
        <v>10</v>
      </c>
      <c r="X14" s="7" t="s">
        <v>67</v>
      </c>
      <c r="Z14" t="str">
        <f t="shared" si="4"/>
        <v>MOV H404 K3Y20</v>
      </c>
    </row>
    <row r="15" spans="2:26">
      <c r="D15" t="s">
        <v>85</v>
      </c>
      <c r="F15">
        <v>1</v>
      </c>
      <c r="N15">
        <v>0</v>
      </c>
      <c r="O15">
        <v>1</v>
      </c>
      <c r="R15" s="26" t="str">
        <f t="shared" si="0"/>
        <v>4</v>
      </c>
      <c r="S15" s="26" t="str">
        <f t="shared" si="1"/>
        <v>0</v>
      </c>
      <c r="T15" s="26" t="str">
        <f t="shared" si="2"/>
        <v>2</v>
      </c>
      <c r="U15" t="str">
        <f t="shared" si="3"/>
        <v>402</v>
      </c>
      <c r="W15" s="7">
        <v>11</v>
      </c>
      <c r="X15" s="7" t="s">
        <v>68</v>
      </c>
      <c r="Z15" t="str">
        <f t="shared" si="4"/>
        <v>MOV H402 K3Y20</v>
      </c>
    </row>
    <row r="16" spans="2:26">
      <c r="D16" s="33" t="s">
        <v>86</v>
      </c>
      <c r="E16" s="33"/>
      <c r="F16" s="33">
        <v>0</v>
      </c>
      <c r="G16" s="33"/>
      <c r="H16" s="33"/>
      <c r="I16" s="33"/>
      <c r="J16" s="33"/>
      <c r="K16" s="33">
        <v>1</v>
      </c>
      <c r="L16" s="33"/>
      <c r="M16" s="33"/>
      <c r="N16" s="33"/>
      <c r="O16" s="33"/>
      <c r="P16" s="33"/>
      <c r="R16" s="26" t="str">
        <f t="shared" si="0"/>
        <v>0</v>
      </c>
      <c r="S16" s="26" t="str">
        <f t="shared" si="1"/>
        <v>2</v>
      </c>
      <c r="T16" s="26" t="str">
        <f t="shared" si="2"/>
        <v>0</v>
      </c>
      <c r="U16" t="str">
        <f t="shared" si="3"/>
        <v>020</v>
      </c>
      <c r="W16" s="7">
        <v>12</v>
      </c>
      <c r="X16" s="7" t="s">
        <v>69</v>
      </c>
      <c r="Z16" t="str">
        <f t="shared" si="4"/>
        <v>MOV H020 K3Y20</v>
      </c>
    </row>
    <row r="17" spans="4:26">
      <c r="D17" t="s">
        <v>87</v>
      </c>
      <c r="E17">
        <v>1</v>
      </c>
      <c r="R17" s="26" t="str">
        <f t="shared" si="0"/>
        <v>8</v>
      </c>
      <c r="S17" s="26" t="str">
        <f t="shared" si="1"/>
        <v>0</v>
      </c>
      <c r="T17" s="26" t="str">
        <f t="shared" si="2"/>
        <v>0</v>
      </c>
      <c r="U17" t="str">
        <f t="shared" si="3"/>
        <v>800</v>
      </c>
      <c r="W17" s="7">
        <v>13</v>
      </c>
      <c r="X17" s="7" t="s">
        <v>70</v>
      </c>
      <c r="Z17" t="str">
        <f t="shared" si="4"/>
        <v>MOV H800 K3Y20</v>
      </c>
    </row>
    <row r="18" spans="4:26">
      <c r="D18" s="33" t="s">
        <v>88</v>
      </c>
      <c r="E18" s="33">
        <v>0</v>
      </c>
      <c r="F18" s="33"/>
      <c r="G18" s="33"/>
      <c r="H18" s="33"/>
      <c r="I18" s="33"/>
      <c r="J18" s="33">
        <v>1</v>
      </c>
      <c r="K18" s="33"/>
      <c r="L18" s="33"/>
      <c r="M18" s="33"/>
      <c r="N18" s="33"/>
      <c r="O18" s="33"/>
      <c r="P18" s="33"/>
      <c r="R18" s="26" t="str">
        <f t="shared" si="0"/>
        <v>0</v>
      </c>
      <c r="S18" s="26" t="str">
        <f t="shared" si="1"/>
        <v>4</v>
      </c>
      <c r="T18" s="26" t="str">
        <f t="shared" si="2"/>
        <v>0</v>
      </c>
      <c r="U18" t="str">
        <f t="shared" si="3"/>
        <v>040</v>
      </c>
      <c r="W18" s="7">
        <v>14</v>
      </c>
      <c r="X18" s="7" t="s">
        <v>71</v>
      </c>
      <c r="Z18" t="str">
        <f t="shared" si="4"/>
        <v>MOV H040 K3Y20</v>
      </c>
    </row>
    <row r="19" spans="4:26">
      <c r="D19" t="s">
        <v>89</v>
      </c>
      <c r="L19">
        <v>1</v>
      </c>
      <c r="R19" s="26" t="str">
        <f t="shared" si="0"/>
        <v>0</v>
      </c>
      <c r="S19" s="26" t="str">
        <f t="shared" si="1"/>
        <v>1</v>
      </c>
      <c r="T19" s="26" t="str">
        <f t="shared" si="2"/>
        <v>0</v>
      </c>
      <c r="U19" t="str">
        <f t="shared" si="3"/>
        <v>010</v>
      </c>
      <c r="W19" s="7">
        <v>15</v>
      </c>
      <c r="X19" s="7" t="s">
        <v>72</v>
      </c>
      <c r="Z19" t="str">
        <f t="shared" si="4"/>
        <v>MOV H010 K3Y20</v>
      </c>
    </row>
    <row r="20" spans="4:26">
      <c r="D20" s="33" t="s">
        <v>90</v>
      </c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R20" s="26" t="str">
        <f t="shared" ref="R20" si="5">IFERROR(VLOOKUP(E20*E$5+F20*F$5+G20*G$5+H20*H$5,$W$5:$X$19,2),"0")</f>
        <v>0</v>
      </c>
      <c r="S20" s="26" t="str">
        <f t="shared" ref="S20" si="6">IFERROR(VLOOKUP(I20*I$5+J20*J$5+K20*K$5+L20*L$5,$W$5:$X$19,2),"0")</f>
        <v>0</v>
      </c>
      <c r="T20" s="26" t="str">
        <f t="shared" ref="T20" si="7">IFERROR(VLOOKUP(M20*M$5+N20*N$5+O20*O$5+P20*P$5,$W$5:$X$19,2),"0")</f>
        <v>0</v>
      </c>
      <c r="U20" t="str">
        <f t="shared" ref="U20" si="8">CONCATENATE(R20,S20,T20)</f>
        <v>000</v>
      </c>
      <c r="Z20" t="str">
        <f t="shared" si="4"/>
        <v>MOV H000 K3Y20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26"/>
  <sheetViews>
    <sheetView zoomScale="85" zoomScaleNormal="85" workbookViewId="0">
      <selection activeCell="G35" sqref="G35"/>
    </sheetView>
  </sheetViews>
  <sheetFormatPr defaultRowHeight="16.5"/>
  <sheetData>
    <row r="1" spans="2:29">
      <c r="Q1" t="s">
        <v>92</v>
      </c>
    </row>
    <row r="2" spans="2:29">
      <c r="C2" s="31" t="s">
        <v>93</v>
      </c>
      <c r="Q2" t="s">
        <v>91</v>
      </c>
    </row>
    <row r="3" spans="2:29">
      <c r="C3" s="31" t="s">
        <v>94</v>
      </c>
    </row>
    <row r="4" spans="2:29" ht="17.25" thickBot="1"/>
    <row r="5" spans="2:29">
      <c r="E5" s="9">
        <v>8</v>
      </c>
      <c r="F5" s="10">
        <v>4</v>
      </c>
      <c r="G5" s="10">
        <v>2</v>
      </c>
      <c r="H5" s="11">
        <v>1</v>
      </c>
      <c r="I5" s="9">
        <v>8</v>
      </c>
      <c r="J5" s="10">
        <v>4</v>
      </c>
      <c r="K5" s="10">
        <v>2</v>
      </c>
      <c r="L5" s="11">
        <v>1</v>
      </c>
      <c r="M5" s="9">
        <v>8</v>
      </c>
      <c r="N5" s="10">
        <v>4</v>
      </c>
      <c r="O5" s="10">
        <v>2</v>
      </c>
      <c r="P5" s="11">
        <v>1</v>
      </c>
      <c r="Q5" s="18">
        <v>8</v>
      </c>
      <c r="R5" s="19">
        <v>4</v>
      </c>
      <c r="S5" s="19">
        <v>2</v>
      </c>
      <c r="T5" s="20">
        <v>1</v>
      </c>
      <c r="AB5" s="7">
        <v>1</v>
      </c>
      <c r="AC5" s="30" t="s">
        <v>73</v>
      </c>
    </row>
    <row r="6" spans="2:29">
      <c r="E6" s="27"/>
      <c r="F6" s="28"/>
      <c r="G6" s="28"/>
      <c r="H6" s="29"/>
      <c r="I6" s="27"/>
      <c r="J6" s="28"/>
      <c r="K6" s="28"/>
      <c r="L6" s="29"/>
      <c r="M6" s="27"/>
      <c r="N6" s="28"/>
      <c r="O6" s="28"/>
      <c r="P6" s="29"/>
      <c r="Q6" s="27"/>
      <c r="R6" s="28"/>
      <c r="S6" s="28"/>
      <c r="T6" s="29"/>
      <c r="AB6" s="7">
        <v>2</v>
      </c>
      <c r="AC6" s="30" t="s">
        <v>74</v>
      </c>
    </row>
    <row r="7" spans="2:29">
      <c r="E7" s="27"/>
      <c r="F7" s="28"/>
      <c r="G7" s="28"/>
      <c r="H7" s="29"/>
      <c r="I7" s="27"/>
      <c r="J7" s="28"/>
      <c r="K7" s="28"/>
      <c r="L7" s="29"/>
      <c r="M7" s="27"/>
      <c r="N7" s="28"/>
      <c r="O7" s="28"/>
      <c r="P7" s="29"/>
      <c r="Q7" s="27"/>
      <c r="R7" s="28"/>
      <c r="S7" s="28"/>
      <c r="T7" s="29"/>
      <c r="AB7" s="7">
        <v>3</v>
      </c>
      <c r="AC7" s="30" t="s">
        <v>75</v>
      </c>
    </row>
    <row r="8" spans="2:29">
      <c r="B8" t="s">
        <v>66</v>
      </c>
      <c r="C8" t="s">
        <v>63</v>
      </c>
      <c r="E8" s="12">
        <v>1</v>
      </c>
      <c r="F8" s="13">
        <v>0</v>
      </c>
      <c r="G8" s="13">
        <v>0</v>
      </c>
      <c r="H8" s="14">
        <v>1</v>
      </c>
      <c r="I8" s="12">
        <v>1</v>
      </c>
      <c r="J8" s="13">
        <v>1</v>
      </c>
      <c r="K8" s="13">
        <v>1</v>
      </c>
      <c r="L8" s="14">
        <v>1</v>
      </c>
      <c r="M8" s="12">
        <v>1</v>
      </c>
      <c r="N8" s="13">
        <v>0</v>
      </c>
      <c r="O8" s="13">
        <v>1</v>
      </c>
      <c r="P8" s="14">
        <v>0</v>
      </c>
      <c r="Q8" s="21">
        <v>1</v>
      </c>
      <c r="R8" s="8">
        <v>1</v>
      </c>
      <c r="S8" s="8">
        <v>0</v>
      </c>
      <c r="T8" s="22">
        <v>1</v>
      </c>
      <c r="V8" s="26" t="str">
        <f>IFERROR(VLOOKUP(E8*E$5+F8*F$5+G8*G$5+H8*H$5,$AB$5:$AC$19,2),"0")</f>
        <v>9</v>
      </c>
      <c r="W8" s="26" t="str">
        <f>IFERROR(VLOOKUP(I8*I$5+J8*J$5+K8*K$5+L8*L$5,$AB$5:$AC$19,2),"0")</f>
        <v>F</v>
      </c>
      <c r="X8" s="26" t="str">
        <f>IFERROR(VLOOKUP(M8*M$5+N8*N$5+O8*O$5+P8*P$5,$AB$5:$AC$19,2),"0")</f>
        <v>A</v>
      </c>
      <c r="Y8" s="26" t="str">
        <f>IFERROR(VLOOKUP(Q8*Q$5+R8*R$5+S8*S$5+T8*T$5,$AB$5:$AC$19,2),"0")</f>
        <v>D</v>
      </c>
      <c r="Z8" t="str">
        <f>CONCATENATE(V8,W8,X8,Y8)</f>
        <v>9FAD</v>
      </c>
      <c r="AB8" s="7">
        <v>4</v>
      </c>
      <c r="AC8" s="30" t="s">
        <v>76</v>
      </c>
    </row>
    <row r="9" spans="2:29" ht="17.25" thickBot="1">
      <c r="B9" t="s">
        <v>65</v>
      </c>
      <c r="C9" t="s">
        <v>64</v>
      </c>
      <c r="E9" s="15">
        <v>0</v>
      </c>
      <c r="F9" s="16">
        <v>0</v>
      </c>
      <c r="G9" s="16">
        <v>0</v>
      </c>
      <c r="H9" s="17">
        <v>0</v>
      </c>
      <c r="I9" s="15">
        <v>0</v>
      </c>
      <c r="J9" s="16">
        <v>0</v>
      </c>
      <c r="K9" s="16">
        <v>0</v>
      </c>
      <c r="L9" s="17">
        <v>0</v>
      </c>
      <c r="M9" s="15">
        <v>0</v>
      </c>
      <c r="N9" s="16">
        <v>1</v>
      </c>
      <c r="O9" s="16">
        <v>0</v>
      </c>
      <c r="P9" s="17">
        <v>1</v>
      </c>
      <c r="Q9" s="23">
        <v>0</v>
      </c>
      <c r="R9" s="24">
        <v>0</v>
      </c>
      <c r="S9" s="24">
        <v>1</v>
      </c>
      <c r="T9" s="25">
        <v>0</v>
      </c>
      <c r="V9" s="26" t="str">
        <f>IFERROR(VLOOKUP(E9*E$5+F9*F$5+G9*G$5+H9*H$5,$AB$5:$AC$19,2),"0")</f>
        <v>0</v>
      </c>
      <c r="W9" s="26" t="str">
        <f>IFERROR(VLOOKUP(I9*I$5+J9*J$5+K9*K$5+L9*L$5,$AB$5:$AC$19,2),"0")</f>
        <v>0</v>
      </c>
      <c r="X9" s="26" t="str">
        <f>IFERROR(VLOOKUP(M9*M$5+N9*N$5+O9*O$5+P9*P$5,$AB$5:$AC$19,2),"0")</f>
        <v>5</v>
      </c>
      <c r="Y9" s="26" t="str">
        <f>IFERROR(VLOOKUP(Q9*Q$5+R9*R$5+S9*S$5+T9*T$5,$AB$5:$AC$19,2),"0")</f>
        <v>2</v>
      </c>
      <c r="Z9" t="str">
        <f>CONCATENATE(V9,W9,X9,Y9)</f>
        <v>0052</v>
      </c>
      <c r="AB9" s="7">
        <v>5</v>
      </c>
      <c r="AC9" s="30" t="s">
        <v>77</v>
      </c>
    </row>
    <row r="10" spans="2:29">
      <c r="AB10" s="7">
        <v>6</v>
      </c>
      <c r="AC10" s="30" t="s">
        <v>78</v>
      </c>
    </row>
    <row r="11" spans="2:29" ht="17.25" thickBot="1">
      <c r="AB11" s="7">
        <v>7</v>
      </c>
      <c r="AC11" s="30" t="s">
        <v>79</v>
      </c>
    </row>
    <row r="12" spans="2:29">
      <c r="E12" s="18">
        <v>1</v>
      </c>
      <c r="F12" s="19">
        <v>1</v>
      </c>
      <c r="G12" s="19">
        <v>1</v>
      </c>
      <c r="H12" s="20">
        <v>1</v>
      </c>
      <c r="I12" s="18">
        <v>1</v>
      </c>
      <c r="J12" s="19">
        <v>1</v>
      </c>
      <c r="K12" s="19">
        <v>1</v>
      </c>
      <c r="L12" s="20">
        <v>1</v>
      </c>
      <c r="M12" s="18">
        <v>1</v>
      </c>
      <c r="N12" s="19">
        <v>1</v>
      </c>
      <c r="O12" s="19">
        <v>1</v>
      </c>
      <c r="P12" s="20">
        <v>1</v>
      </c>
      <c r="Q12" s="18">
        <v>1</v>
      </c>
      <c r="R12" s="19">
        <v>1</v>
      </c>
      <c r="S12" s="19">
        <v>1</v>
      </c>
      <c r="T12" s="20">
        <v>1</v>
      </c>
      <c r="V12" s="26" t="str">
        <f>IFERROR(VLOOKUP(E12*E$5+F12*F$5+G12*G$5+H12*H$5,$AB$5:$AC$19,2),"0")</f>
        <v>F</v>
      </c>
      <c r="W12" s="26" t="str">
        <f>IFERROR(VLOOKUP(I12*I$5+J12*J$5+K12*K$5+L12*L$5,$AB$5:$AC$19,2),"0")</f>
        <v>F</v>
      </c>
      <c r="X12" s="26" t="str">
        <f>IFERROR(VLOOKUP(M12*M$5+N12*N$5+O12*O$5+P12*P$5,$AB$5:$AC$19,2),"0")</f>
        <v>F</v>
      </c>
      <c r="Y12" s="26" t="str">
        <f>IFERROR(VLOOKUP(Q12*Q$5+R12*R$5+S12*S$5+T12*T$5,$AB$5:$AC$19,2),"0")</f>
        <v>F</v>
      </c>
      <c r="Z12" t="str">
        <f>CONCATENATE(V12,W12,X12,Y12)</f>
        <v>FFFF</v>
      </c>
      <c r="AB12" s="7">
        <v>8</v>
      </c>
      <c r="AC12" s="30" t="s">
        <v>80</v>
      </c>
    </row>
    <row r="13" spans="2:29">
      <c r="E13" s="21"/>
      <c r="F13" s="8"/>
      <c r="G13" s="8"/>
      <c r="H13" s="22"/>
      <c r="I13" s="21"/>
      <c r="J13" s="8"/>
      <c r="K13" s="8"/>
      <c r="L13" s="22"/>
      <c r="M13" s="21"/>
      <c r="N13" s="8"/>
      <c r="O13" s="8"/>
      <c r="P13" s="22"/>
      <c r="Q13" s="8"/>
      <c r="R13" s="8"/>
      <c r="S13" s="8"/>
      <c r="T13" s="22"/>
      <c r="V13" s="26" t="str">
        <f>IFERROR(VLOOKUP(E13*E$5+F13*F$5+G13*G$5+H13*H$5,$AB$5:$AC$19,2),"0")</f>
        <v>0</v>
      </c>
      <c r="W13" s="26" t="str">
        <f>IFERROR(VLOOKUP(I13*I$5+J13*J$5+K13*K$5+L13*L$5,$AB$5:$AC$19,2),"0")</f>
        <v>0</v>
      </c>
      <c r="X13" s="26" t="str">
        <f>IFERROR(VLOOKUP(M13*M$5+N13*N$5+O13*O$5+P13*P$5,$AB$5:$AC$19,2),"0")</f>
        <v>0</v>
      </c>
      <c r="Y13" s="26" t="str">
        <f>IFERROR(VLOOKUP(Q13*Q$5+R13*R$5+S13*S$5+T13*T$5,$AB$5:$AC$19,2),"0")</f>
        <v>0</v>
      </c>
      <c r="Z13" t="str">
        <f>CONCATENATE(V13,W13,X13,Y13)</f>
        <v>0000</v>
      </c>
      <c r="AB13" s="7">
        <v>9</v>
      </c>
      <c r="AC13" s="30" t="s">
        <v>81</v>
      </c>
    </row>
    <row r="14" spans="2:29">
      <c r="E14" s="21"/>
      <c r="F14" s="8"/>
      <c r="G14" s="8"/>
      <c r="H14" s="22"/>
      <c r="I14" s="21"/>
      <c r="J14" s="8"/>
      <c r="K14" s="8"/>
      <c r="L14" s="22"/>
      <c r="M14" s="21"/>
      <c r="N14" s="8"/>
      <c r="O14" s="8"/>
      <c r="P14" s="22"/>
      <c r="Q14" s="8"/>
      <c r="R14" s="8"/>
      <c r="S14" s="8"/>
      <c r="T14" s="22"/>
      <c r="V14" s="26" t="str">
        <f t="shared" ref="V14:V20" si="0">IFERROR(VLOOKUP(E14*E$5+F14*F$5+G14*G$5+H14*H$5,$AB$5:$AC$19,2),"0")</f>
        <v>0</v>
      </c>
      <c r="W14" s="26"/>
      <c r="X14" s="26"/>
      <c r="Y14" s="26"/>
      <c r="AB14" s="7">
        <v>10</v>
      </c>
      <c r="AC14" s="7" t="s">
        <v>67</v>
      </c>
    </row>
    <row r="15" spans="2:29">
      <c r="E15" s="21"/>
      <c r="F15" s="8"/>
      <c r="G15" s="8"/>
      <c r="H15" s="22"/>
      <c r="I15" s="21"/>
      <c r="J15" s="8"/>
      <c r="K15" s="8"/>
      <c r="L15" s="22"/>
      <c r="M15" s="21"/>
      <c r="N15" s="8"/>
      <c r="O15" s="8"/>
      <c r="P15" s="22"/>
      <c r="Q15" s="8"/>
      <c r="R15" s="8"/>
      <c r="S15" s="8"/>
      <c r="T15" s="22"/>
      <c r="V15" s="26" t="str">
        <f t="shared" si="0"/>
        <v>0</v>
      </c>
      <c r="W15" s="26"/>
      <c r="X15" s="26"/>
      <c r="Y15" s="26"/>
      <c r="AB15" s="7">
        <v>11</v>
      </c>
      <c r="AC15" s="7" t="s">
        <v>68</v>
      </c>
    </row>
    <row r="16" spans="2:29">
      <c r="E16" s="21"/>
      <c r="F16" s="8"/>
      <c r="G16" s="8"/>
      <c r="H16" s="22"/>
      <c r="I16" s="21"/>
      <c r="J16" s="8"/>
      <c r="K16" s="8"/>
      <c r="L16" s="22"/>
      <c r="M16" s="21"/>
      <c r="N16" s="8"/>
      <c r="O16" s="8"/>
      <c r="P16" s="22"/>
      <c r="Q16" s="8"/>
      <c r="R16" s="8"/>
      <c r="S16" s="8"/>
      <c r="T16" s="22"/>
      <c r="V16" s="26" t="str">
        <f t="shared" si="0"/>
        <v>0</v>
      </c>
      <c r="W16" s="26"/>
      <c r="X16" s="26"/>
      <c r="Y16" s="26"/>
      <c r="AB16" s="7">
        <v>12</v>
      </c>
      <c r="AC16" s="7" t="s">
        <v>69</v>
      </c>
    </row>
    <row r="17" spans="5:29">
      <c r="E17" s="21"/>
      <c r="F17" s="8"/>
      <c r="G17" s="8"/>
      <c r="H17" s="22"/>
      <c r="I17" s="21"/>
      <c r="J17" s="8"/>
      <c r="K17" s="8"/>
      <c r="L17" s="22"/>
      <c r="M17" s="21"/>
      <c r="N17" s="8"/>
      <c r="O17" s="8"/>
      <c r="P17" s="22"/>
      <c r="Q17" s="8"/>
      <c r="R17" s="8"/>
      <c r="S17" s="8"/>
      <c r="T17" s="22"/>
      <c r="V17" s="26" t="str">
        <f t="shared" si="0"/>
        <v>0</v>
      </c>
      <c r="W17" s="26"/>
      <c r="X17" s="26"/>
      <c r="Y17" s="26"/>
      <c r="AB17" s="7">
        <v>13</v>
      </c>
      <c r="AC17" s="7" t="s">
        <v>70</v>
      </c>
    </row>
    <row r="18" spans="5:29">
      <c r="E18" s="21"/>
      <c r="F18" s="8"/>
      <c r="G18" s="8"/>
      <c r="H18" s="22"/>
      <c r="I18" s="21"/>
      <c r="J18" s="8"/>
      <c r="K18" s="8"/>
      <c r="L18" s="22"/>
      <c r="M18" s="21"/>
      <c r="N18" s="8"/>
      <c r="O18" s="8"/>
      <c r="P18" s="22"/>
      <c r="Q18" s="8"/>
      <c r="R18" s="8"/>
      <c r="S18" s="8"/>
      <c r="T18" s="22"/>
      <c r="V18" s="26" t="str">
        <f t="shared" si="0"/>
        <v>0</v>
      </c>
      <c r="W18" s="26"/>
      <c r="X18" s="26"/>
      <c r="Y18" s="26"/>
      <c r="AB18" s="7">
        <v>14</v>
      </c>
      <c r="AC18" s="7" t="s">
        <v>71</v>
      </c>
    </row>
    <row r="19" spans="5:29">
      <c r="E19" s="21"/>
      <c r="F19" s="8"/>
      <c r="G19" s="8"/>
      <c r="H19" s="22"/>
      <c r="I19" s="21"/>
      <c r="J19" s="8"/>
      <c r="K19" s="8"/>
      <c r="L19" s="22"/>
      <c r="M19" s="21"/>
      <c r="N19" s="8"/>
      <c r="O19" s="8"/>
      <c r="P19" s="22"/>
      <c r="Q19" s="8"/>
      <c r="R19" s="8"/>
      <c r="S19" s="8"/>
      <c r="T19" s="22"/>
      <c r="V19" s="26" t="str">
        <f t="shared" si="0"/>
        <v>0</v>
      </c>
      <c r="W19" s="26"/>
      <c r="X19" s="26"/>
      <c r="Y19" s="26"/>
      <c r="AB19" s="7">
        <v>15</v>
      </c>
      <c r="AC19" s="7" t="s">
        <v>72</v>
      </c>
    </row>
    <row r="20" spans="5:29" ht="17.25" thickBot="1">
      <c r="E20" s="23"/>
      <c r="F20" s="24"/>
      <c r="G20" s="24"/>
      <c r="H20" s="25"/>
      <c r="I20" s="23"/>
      <c r="J20" s="24"/>
      <c r="K20" s="24"/>
      <c r="L20" s="25"/>
      <c r="M20" s="23"/>
      <c r="N20" s="24"/>
      <c r="O20" s="24"/>
      <c r="P20" s="25"/>
      <c r="Q20" s="24"/>
      <c r="R20" s="24"/>
      <c r="S20" s="24"/>
      <c r="T20" s="25"/>
      <c r="V20" s="26" t="str">
        <f t="shared" si="0"/>
        <v>0</v>
      </c>
      <c r="W20" s="26"/>
      <c r="X20" s="26"/>
      <c r="Y20" s="26"/>
    </row>
    <row r="23" spans="5:29">
      <c r="W23" s="26"/>
      <c r="X23" s="26"/>
      <c r="Y23" s="26"/>
    </row>
    <row r="24" spans="5:29">
      <c r="W24" s="26"/>
      <c r="X24" s="26"/>
      <c r="Y24" s="26"/>
    </row>
    <row r="25" spans="5:29">
      <c r="W25" s="26"/>
      <c r="X25" s="26"/>
      <c r="Y25" s="26"/>
    </row>
    <row r="26" spans="5:29">
      <c r="W26" s="26"/>
      <c r="X26" s="26"/>
      <c r="Y26" s="26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Data Parameter</vt:lpstr>
      <vt:lpstr>Bit Calculator</vt:lpstr>
      <vt:lpstr>16 bit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2026-06-30T03:23:39Z</dcterms:created>
  <dcterms:modified xsi:type="dcterms:W3CDTF">2026-07-30T02:22:42Z</dcterms:modified>
</cp:coreProperties>
</file>